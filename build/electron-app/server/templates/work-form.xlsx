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emp\FactorDb\server\templates\"/>
    </mc:Choice>
  </mc:AlternateContent>
  <xr:revisionPtr revIDLastSave="0" documentId="13_ncr:1_{F065F019-0007-465C-9A30-2AD2AF614E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فرم خام" sheetId="21" r:id="rId1"/>
    <sheet name="Sheet2" sheetId="2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21" l="1"/>
  <c r="J11" i="21"/>
  <c r="J12" i="21" s="1"/>
  <c r="L11" i="21" l="1"/>
  <c r="L12" i="21" s="1"/>
  <c r="H1" i="22" l="1"/>
  <c r="H2" i="22" l="1"/>
  <c r="H6" i="22" l="1"/>
  <c r="H4" i="22"/>
  <c r="H3" i="22"/>
  <c r="H7" i="22"/>
  <c r="H5" i="22"/>
  <c r="K3" i="22" l="1"/>
  <c r="J3" i="22"/>
  <c r="N3" i="22" s="1" a="1"/>
  <c r="N3" i="22" s="1"/>
  <c r="Q3" i="22"/>
  <c r="P3" i="22"/>
  <c r="I3" i="22"/>
  <c r="L3" i="22" s="1" a="1"/>
  <c r="L3" i="22" s="1"/>
  <c r="J4" i="22"/>
  <c r="N4" i="22" s="1" a="1"/>
  <c r="N4" i="22" s="1"/>
  <c r="I4" i="22"/>
  <c r="L4" i="22" s="1" a="1"/>
  <c r="L4" i="22" s="1"/>
  <c r="K4" i="22"/>
  <c r="P4" i="22"/>
  <c r="Q4" i="22" s="1"/>
  <c r="K5" i="22"/>
  <c r="I5" i="22"/>
  <c r="L5" i="22" s="1" a="1"/>
  <c r="L5" i="22" s="1"/>
  <c r="J5" i="22"/>
  <c r="N5" i="22" s="1" a="1"/>
  <c r="N5" i="22" s="1"/>
  <c r="J7" i="22"/>
  <c r="N7" i="22" s="1" a="1"/>
  <c r="N7" i="22" s="1"/>
  <c r="K7" i="22"/>
  <c r="I7" i="22"/>
  <c r="L7" i="22" s="1" a="1"/>
  <c r="L7" i="22" s="1"/>
  <c r="I6" i="22"/>
  <c r="L6" i="22" s="1" a="1"/>
  <c r="L6" i="22" s="1"/>
  <c r="J6" i="22"/>
  <c r="N6" i="22" s="1" a="1"/>
  <c r="N6" i="22" s="1"/>
  <c r="K6" i="22"/>
  <c r="M7" i="22" l="1" a="1"/>
  <c r="M7" i="22" s="1"/>
  <c r="O7" i="22" a="1"/>
  <c r="O7" i="22" s="1"/>
  <c r="P7" i="22" s="1"/>
  <c r="Q7" i="22" s="1"/>
  <c r="M5" i="22" a="1"/>
  <c r="M5" i="22" s="1"/>
  <c r="O5" i="22" a="1"/>
  <c r="O5" i="22" s="1"/>
  <c r="P5" i="22" s="1"/>
  <c r="Q5" i="22" s="1"/>
  <c r="O6" i="22" a="1"/>
  <c r="O6" i="22" s="1"/>
  <c r="P6" i="22" s="1"/>
  <c r="Q6" i="22" s="1"/>
  <c r="M6" i="22" a="1"/>
  <c r="M6" i="22" s="1"/>
  <c r="M4" i="22" a="1"/>
  <c r="M4" i="22" s="1"/>
  <c r="O4" i="22" a="1"/>
  <c r="O4" i="22" s="1"/>
  <c r="M3" i="22" a="1"/>
  <c r="M3" i="22" s="1"/>
  <c r="O3" i="22" a="1"/>
  <c r="O3" i="22" s="1"/>
  <c r="H11" i="22" l="1"/>
  <c r="D13" i="2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<sst xmlns="http://schemas.openxmlformats.org/spreadsheetml/2006/main" count="40" uniqueCount="33">
  <si>
    <t>ردیف</t>
  </si>
  <si>
    <t>شرح کالا و خدمات</t>
  </si>
  <si>
    <t>واحد</t>
  </si>
  <si>
    <t>مبلغ واحد</t>
  </si>
  <si>
    <t>مبلغ کل</t>
  </si>
  <si>
    <t>جمع کل بعلاوه</t>
  </si>
  <si>
    <t xml:space="preserve"> عوارض (ریال)</t>
  </si>
  <si>
    <t>جمع مالیات و</t>
  </si>
  <si>
    <t>تعداد</t>
  </si>
  <si>
    <t>مقدار</t>
  </si>
  <si>
    <t>(ریال)</t>
  </si>
  <si>
    <t>مالیات و عوارض(ریال)</t>
  </si>
  <si>
    <t>صورتحساب فروش کالا و خدمات</t>
  </si>
  <si>
    <t>نام شخص حقیقی/حقوقی :</t>
  </si>
  <si>
    <t>شماره ملی  :</t>
  </si>
  <si>
    <t>کد پستی  :</t>
  </si>
  <si>
    <t>کد اقتصادی  :</t>
  </si>
  <si>
    <t xml:space="preserve">   تلفن  :</t>
  </si>
  <si>
    <t xml:space="preserve">مشخصات فروشنده </t>
  </si>
  <si>
    <t>مشخصات خریدار</t>
  </si>
  <si>
    <t>مشخصات کالا یا خدمات انجام شده</t>
  </si>
  <si>
    <t>جمع کل :</t>
  </si>
  <si>
    <t>شرایط و نحوه فروش</t>
  </si>
  <si>
    <t xml:space="preserve">غیرنقدی </t>
  </si>
  <si>
    <t xml:space="preserve">نقدی </t>
  </si>
  <si>
    <t xml:space="preserve">مبلغ قابل پرداخت : </t>
  </si>
  <si>
    <t>مهر و امضاء فروشنده :</t>
  </si>
  <si>
    <t>مهر و امضاء خریدار:</t>
  </si>
  <si>
    <t xml:space="preserve">  آدرس :</t>
  </si>
  <si>
    <t>شرکت عمرانی سیناب خراسان</t>
  </si>
  <si>
    <t>411191348813</t>
  </si>
  <si>
    <t>طبس خیابان باران پلاک 82</t>
  </si>
  <si>
    <t>تاریخ: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</si>
</sst>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 * #,##0.00_-_ر_ي_ا_ل_ ;_ * #,##0.00\-_ر_ي_ا_ل_ ;_ * &quot;-&quot;??_-_ر_ي_ا_ل_ ;_ @_ "/>
    <numFmt numFmtId="165" formatCode="_ * #,##0_-_ر_ي_ا_ل_ ;_ * #,##0\-_ر_ي_ا_ل_ ;_ * &quot;-&quot;??_-_ر_ي_ا_ل_ ;_ @_ "/>
    <numFmt numFmtId="166" formatCode="_(* #,##0_);_(* \(#,##0\);_(* &quot;-&quot;??_);_(@_)"/>
    <numFmt numFmtId="167" formatCode="0000\/00\/00"/>
  </numFmts>
  <fonts count="12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B Titr"/>
      <charset val="178"/>
    </font>
    <font>
      <sz val="10"/>
      <color theme="1"/>
      <name val="B Titr"/>
      <charset val="178"/>
    </font>
    <font>
      <sz val="9"/>
      <color theme="1"/>
      <name val="B Titr"/>
      <charset val="178"/>
    </font>
    <font>
      <sz val="8"/>
      <color theme="1"/>
      <name val="B Titr"/>
      <charset val="178"/>
    </font>
    <font>
      <b/>
      <sz val="9"/>
      <color theme="1"/>
      <name val="B Traffic"/>
      <charset val="178"/>
    </font>
    <font>
      <b/>
      <sz val="9"/>
      <color theme="1"/>
      <name val="B Titr"/>
      <charset val="178"/>
    </font>
    <font>
      <b/>
      <sz val="7"/>
      <color theme="1"/>
      <name val="B Traffic"/>
      <charset val="178"/>
    </font>
    <font>
      <b/>
      <sz val="10"/>
      <color theme="1"/>
      <name val="B Titr"/>
      <charset val="178"/>
    </font>
    <font>
      <b/>
      <sz val="10"/>
      <color theme="1"/>
      <name val="B Roya"/>
      <charset val="178"/>
    </font>
    <font>
      <sz val="10"/>
      <color rgb="FF0F1115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0">
    <xf numFmtId="0" fontId="0" fillId="0" borderId="0" xfId="0"/>
    <xf numFmtId="0" fontId="0" fillId="0" borderId="6" xfId="0" applyBorder="1" applyAlignment="1">
      <alignment vertical="center"/>
    </xf>
    <xf numFmtId="0" fontId="7" fillId="0" borderId="13" xfId="0" applyFont="1" applyBorder="1" applyAlignment="1">
      <alignment horizontal="center" vertical="center"/>
    </xf>
    <xf numFmtId="0" fontId="6" fillId="0" borderId="9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5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166" fontId="0" fillId="0" borderId="0" xfId="2" applyNumberFormat="1" applyFont="1"/>
    <xf numFmtId="0" fontId="11" fillId="0" borderId="0" xfId="0" applyFont="1"/>
    <xf numFmtId="0" fontId="9" fillId="2" borderId="8" xfId="0" applyFont="1" applyFill="1" applyBorder="1" applyAlignment="1">
      <alignment vertical="center"/>
    </xf>
    <xf numFmtId="167" fontId="3" fillId="0" borderId="0" xfId="0" applyNumberFormat="1" applyFont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right" vertical="center"/>
    </xf>
    <xf numFmtId="0" fontId="5" fillId="0" borderId="6" xfId="0" applyFont="1" applyBorder="1" applyAlignment="1">
      <alignment horizontal="right" vertical="center"/>
    </xf>
    <xf numFmtId="0" fontId="5" fillId="0" borderId="6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3" xfId="0" applyFont="1" applyBorder="1" applyAlignment="1">
      <alignment horizontal="right" vertical="center"/>
    </xf>
    <xf numFmtId="0" fontId="7" fillId="0" borderId="4" xfId="0" applyFont="1" applyBorder="1" applyAlignment="1">
      <alignment horizontal="right" vertical="center"/>
    </xf>
    <xf numFmtId="0" fontId="7" fillId="0" borderId="6" xfId="0" applyFont="1" applyBorder="1" applyAlignment="1">
      <alignment horizontal="right" vertical="center"/>
    </xf>
    <xf numFmtId="0" fontId="7" fillId="0" borderId="7" xfId="0" applyFont="1" applyBorder="1" applyAlignment="1">
      <alignment horizontal="right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/>
    </xf>
    <xf numFmtId="0" fontId="6" fillId="0" borderId="8" xfId="0" applyFont="1" applyBorder="1" applyAlignment="1">
      <alignment horizontal="center" vertical="center" shrinkToFit="1"/>
    </xf>
    <xf numFmtId="0" fontId="6" fillId="0" borderId="9" xfId="0" applyFont="1" applyBorder="1" applyAlignment="1">
      <alignment horizontal="center" vertical="center" shrinkToFit="1"/>
    </xf>
    <xf numFmtId="0" fontId="6" fillId="0" borderId="10" xfId="0" applyFont="1" applyBorder="1" applyAlignment="1">
      <alignment horizontal="center" vertical="center" shrinkToFit="1"/>
    </xf>
    <xf numFmtId="165" fontId="6" fillId="0" borderId="13" xfId="1" applyNumberFormat="1" applyFont="1" applyBorder="1" applyAlignment="1">
      <alignment horizontal="center" vertical="center" shrinkToFit="1"/>
    </xf>
    <xf numFmtId="165" fontId="6" fillId="0" borderId="15" xfId="1" applyNumberFormat="1" applyFont="1" applyBorder="1" applyAlignment="1">
      <alignment horizontal="center" vertical="center" shrinkToFit="1"/>
    </xf>
    <xf numFmtId="165" fontId="9" fillId="2" borderId="1" xfId="1" applyNumberFormat="1" applyFont="1" applyFill="1" applyBorder="1" applyAlignment="1">
      <alignment vertical="center" shrinkToFit="1"/>
    </xf>
    <xf numFmtId="0" fontId="6" fillId="0" borderId="14" xfId="0" applyFont="1" applyBorder="1" applyAlignment="1">
      <alignment horizontal="center" vertical="center" shrinkToFit="1"/>
    </xf>
    <xf numFmtId="0" fontId="6" fillId="0" borderId="15" xfId="0" applyFont="1" applyBorder="1" applyAlignment="1">
      <alignment horizontal="center" vertical="center" shrinkToFit="1"/>
    </xf>
    <xf numFmtId="0" fontId="6" fillId="0" borderId="16" xfId="0" applyFont="1" applyBorder="1" applyAlignment="1">
      <alignment horizontal="center" vertical="center" shrinkToFit="1"/>
    </xf>
    <xf numFmtId="2" fontId="6" fillId="0" borderId="15" xfId="0" applyNumberFormat="1" applyFont="1" applyBorder="1" applyAlignment="1">
      <alignment horizontal="center" vertical="center" shrinkToFit="1"/>
    </xf>
    <xf numFmtId="0" fontId="8" fillId="0" borderId="13" xfId="0" applyFont="1" applyBorder="1" applyAlignment="1">
      <alignment horizontal="center" vertical="center" shrinkToFit="1"/>
    </xf>
    <xf numFmtId="0" fontId="10" fillId="0" borderId="3" xfId="0" applyFont="1" applyBorder="1" applyAlignment="1">
      <alignment horizontal="right" vertical="center" shrinkToFit="1"/>
    </xf>
    <xf numFmtId="49" fontId="10" fillId="0" borderId="3" xfId="0" applyNumberFormat="1" applyFont="1" applyBorder="1" applyAlignment="1">
      <alignment horizontal="center" vertical="center" shrinkToFit="1"/>
    </xf>
    <xf numFmtId="0" fontId="10" fillId="0" borderId="4" xfId="0" applyFont="1" applyBorder="1" applyAlignment="1">
      <alignment horizontal="center" vertical="top" shrinkToFit="1"/>
    </xf>
    <xf numFmtId="49" fontId="10" fillId="0" borderId="7" xfId="0" applyNumberFormat="1" applyFont="1" applyBorder="1" applyAlignment="1">
      <alignment horizontal="center" vertical="center" shrinkToFit="1"/>
    </xf>
    <xf numFmtId="0" fontId="10" fillId="0" borderId="6" xfId="0" applyFont="1" applyBorder="1" applyAlignment="1">
      <alignment horizontal="center" vertical="center" shrinkToFit="1"/>
    </xf>
    <xf numFmtId="0" fontId="10" fillId="0" borderId="6" xfId="0" applyFont="1" applyBorder="1" applyAlignment="1">
      <alignment horizontal="right" vertical="center" shrinkToFit="1"/>
    </xf>
    <xf numFmtId="0" fontId="10" fillId="0" borderId="3" xfId="0" applyFont="1" applyBorder="1" applyAlignment="1">
      <alignment horizontal="center" vertical="center" shrinkToFit="1"/>
    </xf>
    <xf numFmtId="0" fontId="10" fillId="0" borderId="7" xfId="0" applyFont="1" applyBorder="1" applyAlignment="1">
      <alignment horizontal="center" vertical="center" shrinkToFit="1"/>
    </xf>
    <xf numFmtId="49" fontId="10" fillId="0" borderId="4" xfId="0" applyNumberFormat="1" applyFont="1" applyBorder="1" applyAlignment="1">
      <alignment horizontal="center" vertical="center" shrinkToFit="1"/>
    </xf>
  </cellXfs>
  <cellStyles count="3">
    <cellStyle name="Comma" xfId="1" builtinId="3"/>
    <cellStyle name="Comma 2" xfId="2" xr:uid="{622C094F-DC5B-4B3E-8781-CCF7CA00E355}"/>
    <cellStyle name="Normal" xfId="0" builtinId="0"/>
  </cellStyles>
  <dxfs count="0"/>
  <tableStyles count="0" defaultTableStyle="TableStyleMedium9" defaultPivotStyle="PivotStyleLight16"/>
  <colors>
    <mruColors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161924</xdr:colOff>
      <xdr:row>11</xdr:row>
      <xdr:rowOff>66675</xdr:rowOff>
    </xdr:from>
    <xdr:to>
      <xdr:col>4</xdr:col>
      <xdr:colOff>257174</xdr:colOff>
      <xdr:row>11</xdr:row>
      <xdr:rowOff>180975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 flipV="1">
          <a:off x="9985286101" y="2686050"/>
          <a:ext cx="95250" cy="114300"/>
        </a:xfrm>
        <a:prstGeom prst="roundRect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r" rtl="1"/>
          <a:endParaRPr lang="en-US" sz="1100"/>
        </a:p>
      </xdr:txBody>
    </xdr:sp>
    <xdr:clientData/>
  </xdr:twoCellAnchor>
  <xdr:twoCellAnchor>
    <xdr:from>
      <xdr:col>6</xdr:col>
      <xdr:colOff>200024</xdr:colOff>
      <xdr:row>11</xdr:row>
      <xdr:rowOff>47625</xdr:rowOff>
    </xdr:from>
    <xdr:to>
      <xdr:col>6</xdr:col>
      <xdr:colOff>295274</xdr:colOff>
      <xdr:row>11</xdr:row>
      <xdr:rowOff>161925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flipV="1">
          <a:off x="9984285976" y="2667000"/>
          <a:ext cx="95250" cy="114300"/>
        </a:xfrm>
        <a:prstGeom prst="round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r" rtl="1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33"/>
  </sheetPr>
  <dimension ref="A1:L15"/>
  <sheetViews>
    <sheetView rightToLeft="1" tabSelected="1" workbookViewId="0">
      <selection activeCell="M13" sqref="M13"/>
    </sheetView>
  </sheetViews>
  <sheetFormatPr defaultRowHeight="15" x14ac:dyDescent="0.25"/>
  <cols>
    <col min="1" max="1" width="4.140625" customWidth="1"/>
    <col min="2" max="5" width="5.85546875" customWidth="1"/>
    <col min="6" max="6" width="8.5703125" customWidth="1"/>
    <col min="7" max="7" width="6.85546875" customWidth="1"/>
    <col min="8" max="8" width="5.85546875" customWidth="1"/>
    <col min="9" max="9" width="11" bestFit="1" customWidth="1"/>
    <col min="10" max="10" width="13.5703125" bestFit="1" customWidth="1"/>
    <col min="11" max="11" width="10.7109375" customWidth="1"/>
    <col min="12" max="12" width="15.140625" bestFit="1" customWidth="1"/>
  </cols>
  <sheetData>
    <row r="1" spans="1:12" ht="24.75" customHeight="1" thickBot="1" x14ac:dyDescent="0.3">
      <c r="A1" s="14"/>
      <c r="B1" s="15"/>
      <c r="C1" s="15"/>
      <c r="D1" s="15"/>
      <c r="E1" s="21" t="s">
        <v>12</v>
      </c>
      <c r="F1" s="21"/>
      <c r="G1" s="21"/>
      <c r="H1" s="21"/>
      <c r="I1" s="21"/>
      <c r="J1" s="21"/>
      <c r="K1" s="16" t="s">
        <v>32</v>
      </c>
      <c r="L1" s="20"/>
    </row>
    <row r="2" spans="1:12" ht="19.5" thickBot="1" x14ac:dyDescent="0.3">
      <c r="A2" s="22" t="s">
        <v>18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4"/>
    </row>
    <row r="3" spans="1:12" ht="18" x14ac:dyDescent="0.25">
      <c r="A3" s="25" t="s">
        <v>13</v>
      </c>
      <c r="B3" s="26"/>
      <c r="C3" s="26"/>
      <c r="D3" s="61"/>
      <c r="E3" s="61"/>
      <c r="F3" s="61"/>
      <c r="G3" s="27" t="s">
        <v>14</v>
      </c>
      <c r="H3" s="27"/>
      <c r="I3" s="62"/>
      <c r="J3" s="62"/>
      <c r="K3" s="13" t="s">
        <v>16</v>
      </c>
      <c r="L3" s="63"/>
    </row>
    <row r="4" spans="1:12" ht="18.75" thickBot="1" x14ac:dyDescent="0.3">
      <c r="A4" s="31" t="s">
        <v>28</v>
      </c>
      <c r="B4" s="32"/>
      <c r="C4" s="66"/>
      <c r="D4" s="66"/>
      <c r="E4" s="66"/>
      <c r="F4" s="66"/>
      <c r="G4" s="33" t="s">
        <v>15</v>
      </c>
      <c r="H4" s="33"/>
      <c r="I4" s="65"/>
      <c r="J4" s="65"/>
      <c r="K4" s="8" t="s">
        <v>17</v>
      </c>
      <c r="L4" s="64"/>
    </row>
    <row r="5" spans="1:12" ht="19.5" thickBot="1" x14ac:dyDescent="0.3">
      <c r="A5" s="28" t="s">
        <v>19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30"/>
    </row>
    <row r="6" spans="1:12" ht="18" x14ac:dyDescent="0.25">
      <c r="A6" s="25" t="s">
        <v>13</v>
      </c>
      <c r="B6" s="26"/>
      <c r="C6" s="26"/>
      <c r="D6" s="61" t="s">
        <v>29</v>
      </c>
      <c r="E6" s="61"/>
      <c r="F6" s="61"/>
      <c r="G6" s="27" t="s">
        <v>14</v>
      </c>
      <c r="H6" s="27"/>
      <c r="I6" s="67">
        <v>10380343215</v>
      </c>
      <c r="J6" s="67"/>
      <c r="K6" s="13" t="s">
        <v>16</v>
      </c>
      <c r="L6" s="69" t="s">
        <v>30</v>
      </c>
    </row>
    <row r="7" spans="1:12" ht="18.75" thickBot="1" x14ac:dyDescent="0.3">
      <c r="A7" s="31" t="s">
        <v>28</v>
      </c>
      <c r="B7" s="32"/>
      <c r="C7" s="66" t="s">
        <v>31</v>
      </c>
      <c r="D7" s="66"/>
      <c r="E7" s="66"/>
      <c r="F7" s="66"/>
      <c r="G7" s="33" t="s">
        <v>15</v>
      </c>
      <c r="H7" s="33"/>
      <c r="I7" s="65">
        <v>9791815335</v>
      </c>
      <c r="J7" s="65"/>
      <c r="K7" s="8" t="s">
        <v>17</v>
      </c>
      <c r="L7" s="68">
        <v>32821936</v>
      </c>
    </row>
    <row r="8" spans="1:12" ht="19.5" thickBot="1" x14ac:dyDescent="0.3">
      <c r="A8" s="34" t="s">
        <v>20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6"/>
    </row>
    <row r="9" spans="1:12" ht="15" customHeight="1" x14ac:dyDescent="0.25">
      <c r="A9" s="37" t="s">
        <v>0</v>
      </c>
      <c r="B9" s="28" t="s">
        <v>1</v>
      </c>
      <c r="C9" s="29"/>
      <c r="D9" s="29"/>
      <c r="E9" s="29"/>
      <c r="F9" s="30"/>
      <c r="G9" s="12" t="s">
        <v>8</v>
      </c>
      <c r="H9" s="37" t="s">
        <v>2</v>
      </c>
      <c r="I9" s="12" t="s">
        <v>3</v>
      </c>
      <c r="J9" s="10" t="s">
        <v>4</v>
      </c>
      <c r="K9" s="12" t="s">
        <v>7</v>
      </c>
      <c r="L9" s="10" t="s">
        <v>5</v>
      </c>
    </row>
    <row r="10" spans="1:12" ht="15" customHeight="1" thickBot="1" x14ac:dyDescent="0.3">
      <c r="A10" s="38"/>
      <c r="B10" s="34"/>
      <c r="C10" s="35"/>
      <c r="D10" s="35"/>
      <c r="E10" s="35"/>
      <c r="F10" s="36"/>
      <c r="G10" s="9" t="s">
        <v>9</v>
      </c>
      <c r="H10" s="38"/>
      <c r="I10" s="9" t="s">
        <v>10</v>
      </c>
      <c r="J10" s="11" t="s">
        <v>10</v>
      </c>
      <c r="K10" s="9" t="s">
        <v>6</v>
      </c>
      <c r="L10" s="11" t="s">
        <v>11</v>
      </c>
    </row>
    <row r="11" spans="1:12" ht="19.5" thickBot="1" x14ac:dyDescent="0.3">
      <c r="A11" s="2">
        <v>1</v>
      </c>
      <c r="B11" s="56"/>
      <c r="C11" s="57"/>
      <c r="D11" s="57"/>
      <c r="E11" s="57"/>
      <c r="F11" s="58"/>
      <c r="G11" s="59"/>
      <c r="H11" s="60"/>
      <c r="I11" s="54"/>
      <c r="J11" s="53">
        <f>I11*G11</f>
        <v>0</v>
      </c>
      <c r="K11" s="54">
        <v>0</v>
      </c>
      <c r="L11" s="53">
        <f>J11+K11</f>
        <v>0</v>
      </c>
    </row>
    <row r="12" spans="1:12" ht="21" thickBot="1" x14ac:dyDescent="0.55000000000000004">
      <c r="A12" s="47" t="s">
        <v>22</v>
      </c>
      <c r="B12" s="48"/>
      <c r="C12" s="48"/>
      <c r="D12" s="49" t="s">
        <v>24</v>
      </c>
      <c r="E12" s="49"/>
      <c r="F12" s="48" t="s">
        <v>23</v>
      </c>
      <c r="G12" s="48"/>
      <c r="H12" s="3"/>
      <c r="I12" s="19" t="s">
        <v>21</v>
      </c>
      <c r="J12" s="55">
        <f>SUM($J$11:J11)</f>
        <v>0</v>
      </c>
      <c r="K12" s="55">
        <f>SUM($K$11:K11)</f>
        <v>0</v>
      </c>
      <c r="L12" s="55">
        <f>SUM($L$11:L11)</f>
        <v>0</v>
      </c>
    </row>
    <row r="13" spans="1:12" ht="19.5" thickBot="1" x14ac:dyDescent="0.3">
      <c r="A13" s="47" t="s">
        <v>25</v>
      </c>
      <c r="B13" s="48"/>
      <c r="C13" s="48"/>
      <c r="D13" s="50" t="str">
        <f>Sheet2!H11</f>
        <v>صفر</v>
      </c>
      <c r="E13" s="51"/>
      <c r="F13" s="51"/>
      <c r="G13" s="51"/>
      <c r="H13" s="51"/>
      <c r="I13" s="51"/>
      <c r="J13" s="51"/>
      <c r="K13" s="51"/>
      <c r="L13" s="52"/>
    </row>
    <row r="14" spans="1:12" ht="17.25" x14ac:dyDescent="0.25">
      <c r="A14" s="39" t="s">
        <v>26</v>
      </c>
      <c r="B14" s="40"/>
      <c r="C14" s="40"/>
      <c r="D14" s="40"/>
      <c r="E14" s="4"/>
      <c r="F14" s="4"/>
      <c r="G14" s="4"/>
      <c r="H14" s="4"/>
      <c r="I14" s="6"/>
      <c r="J14" s="4"/>
      <c r="K14" s="43" t="s">
        <v>27</v>
      </c>
      <c r="L14" s="44"/>
    </row>
    <row r="15" spans="1:12" ht="72" customHeight="1" thickBot="1" x14ac:dyDescent="0.3">
      <c r="A15" s="41"/>
      <c r="B15" s="42"/>
      <c r="C15" s="42"/>
      <c r="D15" s="42"/>
      <c r="E15" s="7"/>
      <c r="F15" s="7"/>
      <c r="G15" s="1"/>
      <c r="H15" s="1"/>
      <c r="I15" s="5"/>
      <c r="J15" s="1"/>
      <c r="K15" s="45"/>
      <c r="L15" s="46"/>
    </row>
  </sheetData>
  <mergeCells count="31">
    <mergeCell ref="A9:A10"/>
    <mergeCell ref="B9:F10"/>
    <mergeCell ref="H9:H10"/>
    <mergeCell ref="A14:D15"/>
    <mergeCell ref="K14:L15"/>
    <mergeCell ref="B11:F11"/>
    <mergeCell ref="A12:C12"/>
    <mergeCell ref="D12:E12"/>
    <mergeCell ref="F12:G12"/>
    <mergeCell ref="A13:C13"/>
    <mergeCell ref="D13:L13"/>
    <mergeCell ref="A7:B7"/>
    <mergeCell ref="C7:F7"/>
    <mergeCell ref="G7:H7"/>
    <mergeCell ref="I7:J7"/>
    <mergeCell ref="A8:L8"/>
    <mergeCell ref="I4:J4"/>
    <mergeCell ref="A5:L5"/>
    <mergeCell ref="A6:C6"/>
    <mergeCell ref="D6:F6"/>
    <mergeCell ref="G6:H6"/>
    <mergeCell ref="I6:J6"/>
    <mergeCell ref="A4:B4"/>
    <mergeCell ref="C4:F4"/>
    <mergeCell ref="G4:H4"/>
    <mergeCell ref="E1:J1"/>
    <mergeCell ref="A2:L2"/>
    <mergeCell ref="A3:C3"/>
    <mergeCell ref="D3:F3"/>
    <mergeCell ref="G3:H3"/>
    <mergeCell ref="I3:J3"/>
  </mergeCells>
  <printOptions horizontalCentered="1"/>
  <pageMargins left="0.11811023622047245" right="0.11811023622047245" top="0.15748031496062992" bottom="0.15748031496062992" header="0.31496062992125984" footer="0.31496062992125984"/>
  <pageSetup paperSize="11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09A78-5FD4-4BEC-B672-A1902519E332}">
  <sheetPr codeName="Sheet2"/>
  <dimension ref="H1:Q11"/>
  <sheetViews>
    <sheetView workbookViewId="0">
      <selection activeCell="H2" sqref="H2"/>
    </sheetView>
  </sheetViews>
  <sheetFormatPr defaultRowHeight="15" x14ac:dyDescent="0.25"/>
  <cols>
    <col min="8" max="8" width="25.42578125" customWidth="1"/>
  </cols>
  <sheetData>
    <row r="1" spans="8:17" x14ac:dyDescent="0.25">
      <c r="H1" s="17">
        <f>'فرم خام'!L12</f>
        <v>0</v>
      </c>
    </row>
    <row r="2" spans="8:17" x14ac:dyDescent="0.25">
      <c r="H2" s="18" t="str">
        <f>TEXT(H1, "000000000000000")</f>
        <v>000000000000000</v>
      </c>
    </row>
    <row r="3" spans="8:17" x14ac:dyDescent="0.25">
      <c r="H3" s="18">
        <f>VALUE(LEFT(H2,3))</f>
        <v>0</v>
      </c>
      <c r="I3" s="18">
        <f>INT(H3/100)</f>
        <v>0</v>
      </c>
      <c r="J3" s="18">
        <f>MOD(INT(H3/10),10)</f>
        <v>0</v>
      </c>
      <c r="K3" s="18">
        <f>MOD(H3,10)</f>
        <v>0</v>
      </c>
      <c r="L3" s="18" t="str" cm="1">
        <f t="array" ref="L3">INDEX({"","یکصد","دویست","سیصد","چهارصد","پانصد","ششصد","هفتصد","هشتصد","نهصد"}, I3+1)</f>
        <v/>
      </c>
      <c r="M3" s="18" t="str" cm="1">
        <f t="array" ref="M3">INDEX({"ده","یازده","دوازده","سیزده","چهارده","پانزده","شانزده","هفده","هجده","نوزده"}, K3+1)</f>
        <v>ده</v>
      </c>
      <c r="N3" s="18" t="str" cm="1">
        <f t="array" ref="N3">INDEX({"","","بیست","سی","چهل","پنجاه","شصت","هفتاد","هشتاد","نود"}, J3+1)</f>
        <v/>
      </c>
      <c r="O3" s="18" t="str" cm="1">
        <f t="array" ref="O3">INDEX({"","یک","دو","سه","چهار","پنج","شش","هفت","هشت","نه"}, K3+1)</f>
        <v/>
      </c>
      <c r="P3" s="18" t="str">
        <f>IF(H3=0,"",IF(J3=1,IF(I3&gt;0,L3 &amp; " و " &amp; M3,M3),L3 &amp; IF(AND(I3&gt;0,OR(J3&gt;0,K3&gt;0))," و ","") &amp; IF(J3&gt;0,N3,"") &amp; IF(AND(J3&gt;0,K3&gt;0)," و ","") &amp; IF(K3&gt;0,O3,"")))</f>
        <v/>
      </c>
      <c r="Q3" s="18" t="str">
        <f>IF(H3=0,"",P3 &amp; " هزار میلیارد")</f>
        <v/>
      </c>
    </row>
    <row r="4" spans="8:17" x14ac:dyDescent="0.25">
      <c r="H4" s="18">
        <f>VALUE(MID(H2,4,3))</f>
        <v>0</v>
      </c>
      <c r="I4" s="18">
        <f t="shared" ref="I4:I7" si="0">INT(H4/100)</f>
        <v>0</v>
      </c>
      <c r="J4" s="18">
        <f t="shared" ref="J4:J7" si="1">MOD(INT(H4/10),10)</f>
        <v>0</v>
      </c>
      <c r="K4" s="18">
        <f t="shared" ref="K4:K7" si="2">MOD(H4,10)</f>
        <v>0</v>
      </c>
      <c r="L4" s="18" t="str" cm="1">
        <f t="array" ref="L4">INDEX({"","یکصد","دویست","سیصد","چهارصد","پانصد","ششصد","هفتصد","هشتصد","نهصد"}, I4+1)</f>
        <v/>
      </c>
      <c r="M4" s="18" t="str" cm="1">
        <f t="array" ref="M4">INDEX({"ده","یازده","دوازده","سیزده","چهارده","پانزده","شانزده","هفده","هجده","نوزده"}, K4+1)</f>
        <v>ده</v>
      </c>
      <c r="N4" s="18" t="str" cm="1">
        <f t="array" ref="N4">INDEX({"","","بیست","سی","چهل","پنجاه","شصت","هفتاد","هشتاد","نود"}, J4+1)</f>
        <v/>
      </c>
      <c r="O4" s="18" t="str" cm="1">
        <f t="array" ref="O4">INDEX({"","یک","دو","سه","چهار","پنج","شش","هفت","هشت","نه"}, K4+1)</f>
        <v/>
      </c>
      <c r="P4" s="18" t="str">
        <f t="shared" ref="P4:P7" si="3">IF(H4=0,"",IF(J4=1,IF(I4&gt;0,L4 &amp; " و " &amp; M4,M4),L4 &amp; IF(AND(I4&gt;0,OR(J4&gt;0,K4&gt;0))," و ","") &amp; IF(J4&gt;0,N4,"") &amp; IF(AND(J4&gt;0,K4&gt;0)," و ","") &amp; IF(K4&gt;0,O4,"")))</f>
        <v/>
      </c>
      <c r="Q4" s="18" t="str">
        <f>IF(H4=0,"",P4 &amp; " میلیارد")</f>
        <v/>
      </c>
    </row>
    <row r="5" spans="8:17" x14ac:dyDescent="0.25">
      <c r="H5" s="18">
        <f>VALUE(MID(H2,7,3))</f>
        <v>0</v>
      </c>
      <c r="I5" s="18">
        <f t="shared" si="0"/>
        <v>0</v>
      </c>
      <c r="J5" s="18">
        <f t="shared" si="1"/>
        <v>0</v>
      </c>
      <c r="K5" s="18">
        <f t="shared" si="2"/>
        <v>0</v>
      </c>
      <c r="L5" s="18" t="str" cm="1">
        <f t="array" ref="L5">INDEX({"","یکصد","دویست","سیصد","چهارصد","پانصد","ششصد","هفتصد","هشتصد","نهصد"}, I5+1)</f>
        <v/>
      </c>
      <c r="M5" s="18" t="str" cm="1">
        <f t="array" ref="M5">INDEX({"ده","یازده","دوازده","سیزده","چهارده","پانزده","شانزده","هفده","هجده","نوزده"}, K5+1)</f>
        <v>ده</v>
      </c>
      <c r="N5" s="18" t="str" cm="1">
        <f t="array" ref="N5">INDEX({"","","بیست","سی","چهل","پنجاه","شصت","هفتاد","هشتاد","نود"}, J5+1)</f>
        <v/>
      </c>
      <c r="O5" s="18" t="str" cm="1">
        <f t="array" ref="O5">INDEX({"","یک","دو","سه","چهار","پنج","شش","هفت","هشت","نه"}, K5+1)</f>
        <v/>
      </c>
      <c r="P5" s="18" t="str">
        <f t="shared" si="3"/>
        <v/>
      </c>
      <c r="Q5" s="18" t="str">
        <f>IF(H5=0,"",P5 &amp; " میلیون")</f>
        <v/>
      </c>
    </row>
    <row r="6" spans="8:17" x14ac:dyDescent="0.25">
      <c r="H6" s="18">
        <f>VALUE(MID(H2,10,3))</f>
        <v>0</v>
      </c>
      <c r="I6" s="18">
        <f t="shared" si="0"/>
        <v>0</v>
      </c>
      <c r="J6" s="18">
        <f t="shared" si="1"/>
        <v>0</v>
      </c>
      <c r="K6" s="18">
        <f t="shared" si="2"/>
        <v>0</v>
      </c>
      <c r="L6" s="18" t="str" cm="1">
        <f t="array" ref="L6">INDEX({"","یکصد","دویست","سیصد","چهارصد","پانصد","ششصد","هفتصد","هشتصد","نهصد"}, I6+1)</f>
        <v/>
      </c>
      <c r="M6" s="18" t="str" cm="1">
        <f t="array" ref="M6">INDEX({"ده","یازده","دوازده","سیزده","چهارده","پانزده","شانزده","هفده","هجده","نوزده"}, K6+1)</f>
        <v>ده</v>
      </c>
      <c r="N6" s="18" t="str" cm="1">
        <f t="array" ref="N6">INDEX({"","","بیست","سی","چهل","پنجاه","شصت","هفتاد","هشتاد","نود"}, J6+1)</f>
        <v/>
      </c>
      <c r="O6" s="18" t="str" cm="1">
        <f t="array" ref="O6">INDEX({"","یک","دو","سه","چهار","پنج","شش","هفت","هشت","نه"}, K6+1)</f>
        <v/>
      </c>
      <c r="P6" s="18" t="str">
        <f t="shared" si="3"/>
        <v/>
      </c>
      <c r="Q6" s="18" t="str">
        <f>IF(H6=0,"",IF(H6=1,"هزار",P6 &amp; " هزار"))</f>
        <v/>
      </c>
    </row>
    <row r="7" spans="8:17" x14ac:dyDescent="0.25">
      <c r="H7" s="18">
        <f>VALUE(RIGHT(H2,3))</f>
        <v>0</v>
      </c>
      <c r="I7" s="18">
        <f t="shared" si="0"/>
        <v>0</v>
      </c>
      <c r="J7" s="18">
        <f t="shared" si="1"/>
        <v>0</v>
      </c>
      <c r="K7" s="18">
        <f t="shared" si="2"/>
        <v>0</v>
      </c>
      <c r="L7" s="18" t="str" cm="1">
        <f t="array" ref="L7">INDEX({"","یکصد","دویست","سیصد","چهارصد","پانصد","ششصد","هفتصد","هشتصد","نهصد"}, I7+1)</f>
        <v/>
      </c>
      <c r="M7" s="18" t="str" cm="1">
        <f t="array" ref="M7">INDEX({"ده","یازده","دوازده","سیزده","چهارده","پانزده","شانزده","هفده","هجده","نوزده"}, K7+1)</f>
        <v>ده</v>
      </c>
      <c r="N7" s="18" t="str" cm="1">
        <f t="array" ref="N7">INDEX({"","","بیست","سی","چهل","پنجاه","شصت","هفتاد","هشتاد","نود"}, J7+1)</f>
        <v/>
      </c>
      <c r="O7" s="18" t="str" cm="1">
        <f t="array" ref="O7">INDEX({"","یک","دو","سه","چهار","پنج","شش","هفت","هشت","نه"}, K7+1)</f>
        <v/>
      </c>
      <c r="P7" s="18" t="str">
        <f t="shared" si="3"/>
        <v/>
      </c>
      <c r="Q7" s="18" t="str">
        <f>P7</f>
        <v/>
      </c>
    </row>
    <row r="11" spans="8:17" x14ac:dyDescent="0.25">
      <c r="H11" t="str">
        <f>IF(H1=0, "صفر",
   Q3 &amp; IF(AND(Q3&lt;&gt;"", OR(Q4&lt;&gt;"", Q5&lt;&gt;"", Q6&lt;&gt;"", Q7&lt;&gt;"")), " و ", "") &amp;
   Q4 &amp; IF(AND(Q4&lt;&gt;"", OR(Q5&lt;&gt;"", Q6&lt;&gt;"", Q7&lt;&gt;"")), " و ", "") &amp;
   Q5 &amp; IF(AND(Q5&lt;&gt;"", OR(Q6&lt;&gt;"", Q7&lt;&gt;"")), " و ", "") &amp;
   Q6 &amp; IF(AND(Q6&lt;&gt;"", Q7&lt;&gt;""), " و ", "") &amp;
   Q7
)</f>
        <v>صفر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فرم خام</vt:lpstr>
      <vt:lpstr>Sheet2</vt:lpstr>
    </vt:vector>
  </TitlesOfParts>
  <Company>Office07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MadanjoUser</cp:lastModifiedBy>
  <cp:lastPrinted>2026-04-23T19:12:10Z</cp:lastPrinted>
  <dcterms:created xsi:type="dcterms:W3CDTF">2019-07-21T07:37:16Z</dcterms:created>
  <dcterms:modified xsi:type="dcterms:W3CDTF">2026-09-26T07:07:46Z</dcterms:modified>
</cp:coreProperties>
</file>